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38CF447-86C4-4162-AE16-ABEF29409919}" xr6:coauthVersionLast="47" xr6:coauthVersionMax="47" xr10:uidLastSave="{00000000-0000-0000-0000-000000000000}"/>
  <bookViews>
    <workbookView xWindow="-110" yWindow="-110" windowWidth="19420" windowHeight="10300" xr2:uid="{91561996-24C9-4C0D-AA8F-ED272DAD7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C45" i="1" l="1"/>
  <c r="C44" i="1"/>
  <c r="C43" i="1"/>
  <c r="C42" i="1"/>
  <c r="C41" i="1"/>
  <c r="C12" i="1" l="1"/>
  <c r="C8" i="1"/>
  <c r="C9" i="1"/>
  <c r="C17" i="1"/>
  <c r="C6" i="1"/>
  <c r="C19" i="1"/>
  <c r="C21" i="1"/>
  <c r="C13" i="1"/>
  <c r="C30" i="1"/>
  <c r="C20" i="1"/>
  <c r="C22" i="1"/>
  <c r="C11" i="1"/>
  <c r="C15" i="1"/>
  <c r="C16" i="1"/>
  <c r="C10" i="1"/>
  <c r="C25" i="1"/>
  <c r="C32" i="1"/>
  <c r="C35" i="1"/>
  <c r="C14" i="1"/>
  <c r="C33" i="1"/>
  <c r="C26" i="1"/>
  <c r="C24" i="1"/>
  <c r="C27" i="1"/>
  <c r="C23" i="1"/>
  <c r="C7" i="1"/>
  <c r="C31" i="1"/>
  <c r="C5" i="1"/>
  <c r="C36" i="1"/>
  <c r="C28" i="1"/>
  <c r="C37" i="1"/>
  <c r="C38" i="1"/>
  <c r="C34" i="1"/>
  <c r="C29" i="1"/>
  <c r="C18" i="1"/>
</calcChain>
</file>

<file path=xl/sharedStrings.xml><?xml version="1.0" encoding="utf-8"?>
<sst xmlns="http://schemas.openxmlformats.org/spreadsheetml/2006/main" count="50" uniqueCount="38">
  <si>
    <t>Jumlah Kemiskinan di Jawa Tengah Tahun 2023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</si>
  <si>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</si>
  <si>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</si>
  <si>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</si>
  <si>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</si>
  <si>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</si>
  <si>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</si>
  <si>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</si>
  <si>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</si>
  <si>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</si>
  <si>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</si>
  <si>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</si>
  <si>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</si>
  <si>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</si>
  <si>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</si>
  <si>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</si>
  <si>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</si>
  <si>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</si>
  <si>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</si>
  <si>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</si>
  <si>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</si>
  <si>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</si>
  <si>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</si>
  <si>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</si>
  <si>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</si>
  <si>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</si>
  <si>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</si>
  <si>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</si>
  <si>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</si>
  <si>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</si>
  <si>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</si>
  <si>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</si>
  <si>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Kabupaten/
Kota</t>
  </si>
  <si>
    <t>Persentase 
Kemiskinan</t>
  </si>
  <si>
    <t>Ranking 
Daerah</t>
  </si>
  <si>
    <t>Rata-rata 
Kemiskinan</t>
  </si>
  <si>
    <t>Nilai 
Tertinggi</t>
  </si>
  <si>
    <t>Nilai 
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</si>
</sst>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43" fontId="3" fillId="0" borderId="1" xfId="1" applyFont="1" applyBorder="1"/>
    <xf numFmtId="0" fontId="2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Tengah Tahun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Kebumen</c:v>
                </c:pt>
                <c:pt idx="1">
                  <c:v>Brebes</c:v>
                </c:pt>
                <c:pt idx="2">
                  <c:v>Wonosobo</c:v>
                </c:pt>
                <c:pt idx="3">
                  <c:v>Pemalang</c:v>
                </c:pt>
                <c:pt idx="4">
                  <c:v>Purbalingga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16.34</c:v>
                </c:pt>
                <c:pt idx="1">
                  <c:v>15.78</c:v>
                </c:pt>
                <c:pt idx="2">
                  <c:v>15.58</c:v>
                </c:pt>
                <c:pt idx="3">
                  <c:v>15.03</c:v>
                </c:pt>
                <c:pt idx="4">
                  <c:v>14.99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6-4DEA-AAC6-87DC2ECCBB2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Kebumen</c:v>
                </c:pt>
                <c:pt idx="1">
                  <c:v>Brebes</c:v>
                </c:pt>
                <c:pt idx="2">
                  <c:v>Wonosobo</c:v>
                </c:pt>
                <c:pt idx="3">
                  <c:v>Pemalang</c:v>
                </c:pt>
                <c:pt idx="4">
                  <c:v>Purbalingga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6-4DEA-AAC6-87DC2ECCBB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6311184"/>
        <c:axId val="1243022480"/>
      </c:barChart>
      <c:catAx>
        <c:axId val="124631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3022480"/>
        <c:crosses val="autoZero"/>
        <c:auto val="1"/>
        <c:lblAlgn val="ctr"/>
        <c:lblOffset val="100"/>
        <c:noMultiLvlLbl val="0"/>
      </c:catAx>
      <c:valAx>
        <c:axId val="12430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631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Tengah Tahun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Sheet1!$A$41:$A$45</c:f>
              <c:strCache>
                <c:ptCount val="5"/>
                <c:pt idx="0">
                  <c:v>Pekalongan</c:v>
                </c:pt>
                <c:pt idx="1">
                  <c:v>Jepara</c:v>
                </c:pt>
                <c:pt idx="2">
                  <c:v>Magelang</c:v>
                </c:pt>
                <c:pt idx="3">
                  <c:v>Salatiga</c:v>
                </c:pt>
                <c:pt idx="4">
                  <c:v>Semarang</c:v>
                </c:pt>
              </c:strCache>
            </c:strRef>
          </c:cat>
          <c:val>
            <c:numRef>
              <c:f>Sheet1!$B$41:$B$45</c:f>
              <c:numCache>
                <c:formatCode>General</c:formatCode>
                <c:ptCount val="5"/>
                <c:pt idx="0">
                  <c:v>6.81</c:v>
                </c:pt>
                <c:pt idx="1">
                  <c:v>6.61</c:v>
                </c:pt>
                <c:pt idx="2">
                  <c:v>6.11</c:v>
                </c:pt>
                <c:pt idx="3">
                  <c:v>4.66</c:v>
                </c:pt>
                <c:pt idx="4">
                  <c:v>4.2300000000000004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0-4C7C-944C-6C1CCC528032}"/>
            </c:ext>
          </c:extLst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Sheet1!$A$41:$A$45</c:f>
              <c:strCache>
                <c:ptCount val="5"/>
                <c:pt idx="0">
                  <c:v>Pekalongan</c:v>
                </c:pt>
                <c:pt idx="1">
                  <c:v>Jepara</c:v>
                </c:pt>
                <c:pt idx="2">
                  <c:v>Magelang</c:v>
                </c:pt>
                <c:pt idx="3">
                  <c:v>Salatiga</c:v>
                </c:pt>
                <c:pt idx="4">
                  <c:v>Semarang</c:v>
                </c:pt>
              </c:strCache>
            </c:strRef>
          </c:cat>
          <c:val>
            <c:numRef>
              <c:f>Sheet1!$C$41:$C$45</c:f>
              <c:numCache>
                <c:formatCode>General</c:formatCode>
                <c:ptCount val="5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0-4C7C-944C-6C1CCC5280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3652720"/>
        <c:axId val="1243034480"/>
      </c:barChart>
      <c:catAx>
        <c:axId val="132365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3034480"/>
        <c:crosses val="autoZero"/>
        <c:auto val="1"/>
        <c:lblAlgn val="ctr"/>
        <c:lblOffset val="100"/>
        <c:noMultiLvlLbl val="0"/>
      </c:catAx>
      <c:valAx>
        <c:axId val="12430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36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28534</xdr:colOff>
      <xdr:row>46</xdr:row>
      <xdr:rowOff>32070</xdr:rowOff>
    </xdr:from>
    <xdr:to>
      <xdr:col>5</xdr:col>
      <xdr:colOff>821010</xdr:colOff>
      <xdr:row>61</xdr:row>
      <xdr:rowOff>192423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130CE-DC4F-BADC-FCE8-1E3AA627F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5</xdr:col>
      <xdr:colOff>808182</xdr:colOff>
      <xdr:row>79</xdr:row>
      <xdr:rowOff>6414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03B7AE-F4BB-3AB3-95FB-E324B6FA0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CA12-3D5D-49B7-8A65-36BC1F49510B}">
  <dimension ref="A1:F45"/>
  <sheetViews>
    <sheetView tabSelected="1" topLeftCell="A37" zoomScale="99" zoomScaleNormal="99" workbookViewId="0">
      <selection activeCell="J61" sqref="J61"/>
    </sheetView>
  </sheetViews>
  <sheetFormatPr defaultRowHeight="15.5" x14ac:dyDescent="0.35"/>
  <cols>
    <col min="1" max="1" width="13.54296875" style="4" customWidth="1"/>
    <col min="2" max="2" width="14.6328125" style="4" customWidth="1"/>
    <col min="3" max="3" width="11.1796875" style="4" customWidth="1"/>
    <col min="4" max="4" width="14" style="4" customWidth="1"/>
    <col min="5" max="5" width="11.1796875" style="4" customWidth="1"/>
    <col min="6" max="6" width="11.7265625" style="4" customWidth="1"/>
    <col min="7" max="16384" width="8.7265625" style="4"/>
  </cols>
  <sheetData>
    <row r="1" spans="1:6" x14ac:dyDescent="0.35">
      <c r="A1" s="1" t="s">
        <v>0</v>
      </c>
      <c r="B1" s="2"/>
      <c r="C1" s="3"/>
    </row>
    <row r="2" spans="1:6" x14ac:dyDescent="0.35">
      <c r="B2" s="2"/>
      <c r="C2" s="3"/>
    </row>
    <row r="3" spans="1:6" ht="30.5" x14ac:dyDescent="0.35">
      <c r="A3" s="7" t="s">
        <v>32</v>
      </c>
      <c r="B3" s="8" t="s">
        <v>33</v>
      </c>
      <c r="C3" s="9" t="s">
        <v>34</v>
      </c>
      <c r="D3" s="9" t="s">
        <v>35</v>
      </c>
      <c r="E3" s="9" t="s">
        <v>36</v>
      </c>
      <c r="F3" s="9" t="s">
        <v>37</v>
      </c>
    </row>
    <row r="4" spans="1:6" x14ac:dyDescent="0.35">
      <c r="A4" s="5" t="s">
        <v>5</v>
      </c>
      <c r="B4" s="5">
        <v>16.34</v>
      </c>
      <c r="C4" s="5">
        <f>RANK(B4,$B$4:$B$38,0)</f>
        <v>1</v>
      </c>
      <c r="D4" s="6">
        <f>AVERAGE($B$4:$B$38)</f>
        <v>10.396857142857145</v>
      </c>
      <c r="E4" s="5">
        <f>MAX($B$4:$B$38)</f>
        <v>16.34</v>
      </c>
      <c r="F4" s="5">
        <f>MIN($B$4:$B$38)</f>
        <v>4.2300000000000004</v>
      </c>
    </row>
    <row r="5" spans="1:6" x14ac:dyDescent="0.35">
      <c r="A5" s="5" t="s">
        <v>29</v>
      </c>
      <c r="B5" s="5">
        <v>15.78</v>
      </c>
      <c r="C5" s="5">
        <f t="shared" ref="C5:C38" si="0">RANK(B5,$B$4:$B$38,0)</f>
        <v>2</v>
      </c>
      <c r="D5" s="5"/>
      <c r="E5" s="5"/>
      <c r="F5" s="5"/>
    </row>
    <row r="6" spans="1:6" x14ac:dyDescent="0.35">
      <c r="A6" s="5" t="s">
        <v>7</v>
      </c>
      <c r="B6" s="5">
        <v>15.58</v>
      </c>
      <c r="C6" s="5">
        <f t="shared" si="0"/>
        <v>3</v>
      </c>
      <c r="D6" s="5"/>
      <c r="E6" s="5"/>
      <c r="F6" s="5"/>
    </row>
    <row r="7" spans="1:6" x14ac:dyDescent="0.35">
      <c r="A7" s="5" t="s">
        <v>27</v>
      </c>
      <c r="B7" s="5">
        <v>15.03</v>
      </c>
      <c r="C7" s="5">
        <f t="shared" si="0"/>
        <v>4</v>
      </c>
      <c r="D7" s="5"/>
      <c r="E7" s="5"/>
      <c r="F7" s="5"/>
    </row>
    <row r="8" spans="1:6" x14ac:dyDescent="0.35">
      <c r="A8" s="5" t="s">
        <v>3</v>
      </c>
      <c r="B8" s="5">
        <v>14.99</v>
      </c>
      <c r="C8" s="5">
        <f t="shared" si="0"/>
        <v>5</v>
      </c>
      <c r="D8" s="5"/>
      <c r="E8" s="5"/>
      <c r="F8" s="5"/>
    </row>
    <row r="9" spans="1:6" x14ac:dyDescent="0.35">
      <c r="A9" s="5" t="s">
        <v>4</v>
      </c>
      <c r="B9" s="5">
        <v>14.9</v>
      </c>
      <c r="C9" s="5">
        <f t="shared" si="0"/>
        <v>6</v>
      </c>
      <c r="D9" s="5"/>
      <c r="E9" s="5"/>
      <c r="F9" s="5"/>
    </row>
    <row r="10" spans="1:6" x14ac:dyDescent="0.35">
      <c r="A10" s="5" t="s">
        <v>17</v>
      </c>
      <c r="B10" s="5">
        <v>14.17</v>
      </c>
      <c r="C10" s="5">
        <f t="shared" si="0"/>
        <v>7</v>
      </c>
      <c r="D10" s="5"/>
      <c r="E10" s="5"/>
      <c r="F10" s="5"/>
    </row>
    <row r="11" spans="1:6" x14ac:dyDescent="0.35">
      <c r="A11" s="5" t="s">
        <v>14</v>
      </c>
      <c r="B11" s="5">
        <v>12.87</v>
      </c>
      <c r="C11" s="5">
        <f t="shared" si="0"/>
        <v>8</v>
      </c>
      <c r="D11" s="5"/>
      <c r="E11" s="5"/>
      <c r="F11" s="5"/>
    </row>
    <row r="12" spans="1:6" x14ac:dyDescent="0.35">
      <c r="A12" s="5" t="s">
        <v>2</v>
      </c>
      <c r="B12" s="5">
        <v>12.53</v>
      </c>
      <c r="C12" s="5">
        <f t="shared" si="0"/>
        <v>9</v>
      </c>
      <c r="D12" s="5"/>
      <c r="E12" s="5"/>
      <c r="F12" s="5"/>
    </row>
    <row r="13" spans="1:6" x14ac:dyDescent="0.35">
      <c r="A13" s="5" t="s">
        <v>10</v>
      </c>
      <c r="B13" s="5">
        <v>12.28</v>
      </c>
      <c r="C13" s="5">
        <f t="shared" si="0"/>
        <v>10</v>
      </c>
      <c r="D13" s="5"/>
      <c r="E13" s="5"/>
      <c r="F13" s="5"/>
    </row>
    <row r="14" spans="1:6" x14ac:dyDescent="0.35">
      <c r="A14" s="5" t="s">
        <v>21</v>
      </c>
      <c r="B14" s="5">
        <v>12.01</v>
      </c>
      <c r="C14" s="5">
        <f t="shared" si="0"/>
        <v>11</v>
      </c>
      <c r="D14" s="5"/>
      <c r="E14" s="5"/>
      <c r="F14" s="5"/>
    </row>
    <row r="15" spans="1:6" x14ac:dyDescent="0.35">
      <c r="A15" s="5" t="s">
        <v>15</v>
      </c>
      <c r="B15" s="5">
        <v>11.72</v>
      </c>
      <c r="C15" s="5">
        <f t="shared" si="0"/>
        <v>12</v>
      </c>
      <c r="D15" s="5"/>
      <c r="E15" s="5"/>
      <c r="F15" s="5"/>
    </row>
    <row r="16" spans="1:6" x14ac:dyDescent="0.35">
      <c r="A16" s="5" t="s">
        <v>16</v>
      </c>
      <c r="B16" s="5">
        <v>11.49</v>
      </c>
      <c r="C16" s="5">
        <f t="shared" si="0"/>
        <v>13</v>
      </c>
      <c r="D16" s="5"/>
      <c r="E16" s="5"/>
      <c r="F16" s="5"/>
    </row>
    <row r="17" spans="1:6" x14ac:dyDescent="0.35">
      <c r="A17" s="5" t="s">
        <v>6</v>
      </c>
      <c r="B17" s="5">
        <v>11.33</v>
      </c>
      <c r="C17" s="5">
        <f t="shared" si="0"/>
        <v>14</v>
      </c>
      <c r="D17" s="5"/>
      <c r="E17" s="5"/>
      <c r="F17" s="5"/>
    </row>
    <row r="18" spans="1:6" x14ac:dyDescent="0.35">
      <c r="A18" s="5" t="s">
        <v>1</v>
      </c>
      <c r="B18" s="5">
        <v>10.99</v>
      </c>
      <c r="C18" s="5">
        <f t="shared" si="0"/>
        <v>15</v>
      </c>
      <c r="D18" s="6"/>
      <c r="E18" s="5"/>
      <c r="F18" s="5"/>
    </row>
    <row r="19" spans="1:6" x14ac:dyDescent="0.35">
      <c r="A19" s="5" t="s">
        <v>8</v>
      </c>
      <c r="B19" s="5">
        <v>10.96</v>
      </c>
      <c r="C19" s="5">
        <f t="shared" si="0"/>
        <v>16</v>
      </c>
      <c r="D19" s="5"/>
      <c r="E19" s="5"/>
      <c r="F19" s="5"/>
    </row>
    <row r="20" spans="1:6" x14ac:dyDescent="0.35">
      <c r="A20" s="5" t="s">
        <v>12</v>
      </c>
      <c r="B20" s="5">
        <v>10.94</v>
      </c>
      <c r="C20" s="5">
        <f t="shared" si="0"/>
        <v>17</v>
      </c>
      <c r="D20" s="5"/>
      <c r="E20" s="5"/>
      <c r="F20" s="5"/>
    </row>
    <row r="21" spans="1:6" x14ac:dyDescent="0.35">
      <c r="A21" s="5" t="s">
        <v>9</v>
      </c>
      <c r="B21" s="5">
        <v>9.81</v>
      </c>
      <c r="C21" s="5">
        <f t="shared" si="0"/>
        <v>18</v>
      </c>
      <c r="D21" s="5"/>
      <c r="E21" s="5"/>
      <c r="F21" s="5"/>
    </row>
    <row r="22" spans="1:6" x14ac:dyDescent="0.35">
      <c r="A22" s="5" t="s">
        <v>13</v>
      </c>
      <c r="B22" s="5">
        <v>9.7899999999999991</v>
      </c>
      <c r="C22" s="5">
        <f t="shared" si="0"/>
        <v>19</v>
      </c>
      <c r="D22" s="5"/>
      <c r="E22" s="5"/>
      <c r="F22" s="5"/>
    </row>
    <row r="23" spans="1:6" x14ac:dyDescent="0.35">
      <c r="A23" s="5" t="s">
        <v>26</v>
      </c>
      <c r="B23" s="5">
        <v>9.67</v>
      </c>
      <c r="C23" s="5">
        <f t="shared" si="0"/>
        <v>20</v>
      </c>
      <c r="D23" s="5"/>
      <c r="E23" s="5"/>
      <c r="F23" s="5"/>
    </row>
    <row r="24" spans="1:6" x14ac:dyDescent="0.35">
      <c r="A24" s="5" t="s">
        <v>24</v>
      </c>
      <c r="B24" s="5">
        <v>9.39</v>
      </c>
      <c r="C24" s="5">
        <f t="shared" si="0"/>
        <v>21</v>
      </c>
      <c r="D24" s="5"/>
      <c r="E24" s="5"/>
      <c r="F24" s="5"/>
    </row>
    <row r="25" spans="1:6" x14ac:dyDescent="0.35">
      <c r="A25" s="5" t="s">
        <v>18</v>
      </c>
      <c r="B25" s="5">
        <v>9.31</v>
      </c>
      <c r="C25" s="5">
        <f t="shared" si="0"/>
        <v>22</v>
      </c>
      <c r="D25" s="5"/>
      <c r="E25" s="5"/>
      <c r="F25" s="5"/>
    </row>
    <row r="26" spans="1:6" x14ac:dyDescent="0.35">
      <c r="A26" s="5" t="s">
        <v>23</v>
      </c>
      <c r="B26" s="5">
        <v>9.26</v>
      </c>
      <c r="C26" s="5">
        <f t="shared" si="0"/>
        <v>23</v>
      </c>
      <c r="D26" s="5"/>
      <c r="E26" s="5"/>
      <c r="F26" s="5"/>
    </row>
    <row r="27" spans="1:6" x14ac:dyDescent="0.35">
      <c r="A27" s="5" t="s">
        <v>25</v>
      </c>
      <c r="B27" s="5">
        <v>8.92</v>
      </c>
      <c r="C27" s="5">
        <f t="shared" si="0"/>
        <v>24</v>
      </c>
      <c r="D27" s="5"/>
      <c r="E27" s="5"/>
      <c r="F27" s="5"/>
    </row>
    <row r="28" spans="1:6" x14ac:dyDescent="0.35">
      <c r="A28" s="5" t="s">
        <v>30</v>
      </c>
      <c r="B28" s="5">
        <v>8.44</v>
      </c>
      <c r="C28" s="5">
        <f t="shared" si="0"/>
        <v>25</v>
      </c>
      <c r="D28" s="5"/>
      <c r="E28" s="5"/>
      <c r="F28" s="5"/>
    </row>
    <row r="29" spans="1:6" x14ac:dyDescent="0.35">
      <c r="A29" s="5" t="s">
        <v>28</v>
      </c>
      <c r="B29" s="5">
        <v>7.68</v>
      </c>
      <c r="C29" s="5">
        <f t="shared" si="0"/>
        <v>26</v>
      </c>
      <c r="D29" s="5"/>
      <c r="E29" s="5"/>
      <c r="F29" s="5"/>
    </row>
    <row r="30" spans="1:6" x14ac:dyDescent="0.35">
      <c r="A30" s="5" t="s">
        <v>11</v>
      </c>
      <c r="B30" s="5">
        <v>7.58</v>
      </c>
      <c r="C30" s="5">
        <f t="shared" si="0"/>
        <v>27</v>
      </c>
      <c r="D30" s="5"/>
      <c r="E30" s="5"/>
      <c r="F30" s="5"/>
    </row>
    <row r="31" spans="1:6" x14ac:dyDescent="0.35">
      <c r="A31" s="5" t="s">
        <v>28</v>
      </c>
      <c r="B31" s="5">
        <v>7.3</v>
      </c>
      <c r="C31" s="5">
        <f t="shared" si="0"/>
        <v>28</v>
      </c>
      <c r="D31" s="5"/>
      <c r="E31" s="5"/>
      <c r="F31" s="5"/>
    </row>
    <row r="32" spans="1:6" x14ac:dyDescent="0.35">
      <c r="A32" s="5" t="s">
        <v>19</v>
      </c>
      <c r="B32" s="5">
        <v>7.24</v>
      </c>
      <c r="C32" s="5">
        <f t="shared" si="0"/>
        <v>29</v>
      </c>
      <c r="D32" s="5"/>
      <c r="E32" s="5"/>
      <c r="F32" s="5"/>
    </row>
    <row r="33" spans="1:6" x14ac:dyDescent="0.35">
      <c r="A33" s="5" t="s">
        <v>22</v>
      </c>
      <c r="B33" s="5">
        <v>7.17</v>
      </c>
      <c r="C33" s="5">
        <f t="shared" si="0"/>
        <v>30</v>
      </c>
      <c r="D33" s="5"/>
      <c r="E33" s="5"/>
      <c r="F33" s="5"/>
    </row>
    <row r="34" spans="1:6" x14ac:dyDescent="0.35">
      <c r="A34" s="5" t="s">
        <v>26</v>
      </c>
      <c r="B34" s="5">
        <v>6.81</v>
      </c>
      <c r="C34" s="5">
        <f t="shared" si="0"/>
        <v>31</v>
      </c>
      <c r="D34" s="5"/>
      <c r="E34" s="5"/>
      <c r="F34" s="5"/>
    </row>
    <row r="35" spans="1:6" x14ac:dyDescent="0.35">
      <c r="A35" s="5" t="s">
        <v>20</v>
      </c>
      <c r="B35" s="5">
        <v>6.61</v>
      </c>
      <c r="C35" s="5">
        <f t="shared" si="0"/>
        <v>32</v>
      </c>
      <c r="D35" s="5"/>
      <c r="E35" s="5"/>
      <c r="F35" s="5"/>
    </row>
    <row r="36" spans="1:6" x14ac:dyDescent="0.35">
      <c r="A36" s="5" t="s">
        <v>8</v>
      </c>
      <c r="B36" s="5">
        <v>6.11</v>
      </c>
      <c r="C36" s="5">
        <f t="shared" si="0"/>
        <v>33</v>
      </c>
      <c r="D36" s="5"/>
      <c r="E36" s="5"/>
      <c r="F36" s="5"/>
    </row>
    <row r="37" spans="1:6" x14ac:dyDescent="0.35">
      <c r="A37" s="5" t="s">
        <v>31</v>
      </c>
      <c r="B37" s="5">
        <v>4.66</v>
      </c>
      <c r="C37" s="5">
        <f t="shared" si="0"/>
        <v>34</v>
      </c>
      <c r="D37" s="5"/>
      <c r="E37" s="5"/>
      <c r="F37" s="5"/>
    </row>
    <row r="38" spans="1:6" x14ac:dyDescent="0.35">
      <c r="A38" s="5" t="s">
        <v>22</v>
      </c>
      <c r="B38" s="5">
        <v>4.2300000000000004</v>
      </c>
      <c r="C38" s="5">
        <f t="shared" si="0"/>
        <v>35</v>
      </c>
      <c r="D38" s="5"/>
      <c r="E38" s="5"/>
      <c r="F38" s="5"/>
    </row>
    <row r="40" spans="1:6" ht="30.5" x14ac:dyDescent="0.35">
      <c r="A40" s="7" t="s">
        <v>32</v>
      </c>
      <c r="B40" s="8" t="s">
        <v>33</v>
      </c>
      <c r="C40" s="9" t="s">
        <v>34</v>
      </c>
    </row>
    <row r="41" spans="1:6" x14ac:dyDescent="0.35">
      <c r="A41" s="5" t="s">
        <v>26</v>
      </c>
      <c r="B41" s="5">
        <v>6.81</v>
      </c>
      <c r="C41" s="5">
        <f>RANK(B41,$B$4:$B$38,0)</f>
        <v>31</v>
      </c>
    </row>
    <row r="42" spans="1:6" x14ac:dyDescent="0.35">
      <c r="A42" s="5" t="s">
        <v>20</v>
      </c>
      <c r="B42" s="5">
        <v>6.61</v>
      </c>
      <c r="C42" s="5">
        <f>RANK(B42,$B$4:$B$38,0)</f>
        <v>32</v>
      </c>
    </row>
    <row r="43" spans="1:6" x14ac:dyDescent="0.35">
      <c r="A43" s="5" t="s">
        <v>8</v>
      </c>
      <c r="B43" s="5">
        <v>6.11</v>
      </c>
      <c r="C43" s="5">
        <f>RANK(B43,$B$4:$B$38,0)</f>
        <v>33</v>
      </c>
    </row>
    <row r="44" spans="1:6" x14ac:dyDescent="0.35">
      <c r="A44" s="5" t="s">
        <v>31</v>
      </c>
      <c r="B44" s="5">
        <v>4.66</v>
      </c>
      <c r="C44" s="5">
        <f>RANK(B44,$B$4:$B$38,0)</f>
        <v>34</v>
      </c>
    </row>
    <row r="45" spans="1:6" x14ac:dyDescent="0.35">
      <c r="A45" s="5" t="s">
        <v>22</v>
      </c>
      <c r="B45" s="5">
        <v>4.2300000000000004</v>
      </c>
      <c r="C45" s="5">
        <f>RANK(B45,$B$4:$B$38,0)</f>
        <v>35</v>
      </c>
    </row>
  </sheetData>
  <sortState xmlns:xlrd2="http://schemas.microsoft.com/office/spreadsheetml/2017/richdata2" ref="A4:F38">
    <sortCondition ref="C4:C38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2026-05-25T14:49:08Z</dcterms:created>
  <dcterms:modified xsi:type="dcterms:W3CDTF">2026-05-27T07:59:27Z</dcterms:modified>
</cp:coreProperties>
</file>